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dge Cases" sheetId="1" state="visible" r:id="rId3"/>
    <sheet name="Themes" sheetId="2" state="visible" r:id="rId4"/>
    <sheet name="Build Options" sheetId="3" state="visible" r:id="rId5"/>
    <sheet name="Build Scope" sheetId="4" state="visible" r:id="rId6"/>
    <sheet name="To-Do"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<sst xmlns="http://schemas.openxmlformats.org/spreadsheetml/2006/main" count="167" uniqueCount="143">
  <si>
    <t xml:space="preserve">Edge Cases &amp; Failure Modes</t>
  </si>
  <si>
    <t xml:space="preserve">Rows 1-10 are your own entries. Yellow cells are still empty: rows 1-3 need a detection gap (how long until the failure is discovered, in days). Columns H-I tag each case with a theme (used by the Themes tab).</t>
  </si>
  <si>
    <t xml:space="preserve">#</t>
  </si>
  <si>
    <t xml:space="preserve">Edge case / trigger</t>
  </si>
  <si>
    <t xml:space="preserve">What breaks</t>
  </si>
  <si>
    <t xml:space="preserve">Who notices first</t>
  </si>
  <si>
    <t xml:space="preserve">How it is caught today</t>
  </si>
  <si>
    <t xml:space="preserve">Detection gap</t>
  </si>
  <si>
    <t xml:space="preserve">Prevention / recovery</t>
  </si>
  <si>
    <t xml:space="preserve">Primary theme</t>
  </si>
  <si>
    <t xml:space="preserve">Also relates to</t>
  </si>
  <si>
    <t xml:space="preserve">Lease start date changes late. The landlord shifts the handover by three days.</t>
  </si>
  <si>
    <t xml:space="preserve">W5, W6, W8, W9, W10 and W11 may need rescheduling.</t>
  </si>
  <si>
    <t xml:space="preserve">Ops coordinator</t>
  </si>
  <si>
    <t xml:space="preserve">Customer WhatsApp message; staff manually update the sheet.</t>
  </si>
  <si>
    <t xml:space="preserve">Maintain one confirmed move date and alert every affected workflow owner when it changes.</t>
  </si>
  <si>
    <t xml:space="preserve">No single source of truth</t>
  </si>
  <si>
    <t xml:space="preserve">Mover cancels the night before. The vendor's truck or crew becomes unavailable.</t>
  </si>
  <si>
    <t xml:space="preserve">W8 and W9 are affected; delivery and utility installation schedules may also be disrupted.</t>
  </si>
  <si>
    <t xml:space="preserve">Logistics ops</t>
  </si>
  <si>
    <t xml:space="preserve">Vendor calls or messages; staff start searching for replacements.</t>
  </si>
  <si>
    <t xml:space="preserve">Reconfirm at 48 and 24 hours, maintain backup vendors, and escalate immediately if no replacement is confirmed.</t>
  </si>
  <si>
    <t xml:space="preserve">Capacity &amp; partner reliability</t>
  </si>
  <si>
    <t xml:space="preserve">Payment screenshot is mistaken for confirmed payment. The customer sends proof, but the transaction fails or is reversed.</t>
  </si>
  <si>
    <t xml:space="preserve">W6 may be incorrectly marked complete; key handover and W10/W12 may proceed on a false assumption.</t>
  </si>
  <si>
    <t xml:space="preserve">Finance ops</t>
  </si>
  <si>
    <t xml:space="preserve">Manual bank or payment reconciliation, potentially after a delay.</t>
  </si>
  <si>
    <t xml:space="preserve">Separate “proof received” from “payment verified”; only finance can confirm the latter.</t>
  </si>
  <si>
    <t xml:space="preserve">Status mistaken for evidence</t>
  </si>
  <si>
    <t xml:space="preserve">Coordinator goes on leave. A move's key details and follow-ups exist only in one employee's chats.</t>
  </si>
  <si>
    <t xml:space="preserve">Any pending workflow may stall, especially W5, W8, W9, and W10.</t>
  </si>
  <si>
    <t xml:space="preserve">The replacement coordinator or customer</t>
  </si>
  <si>
    <t xml:space="preserve">Someone searches old messages or the customer contacts the team asking for an update.</t>
  </si>
  <si>
    <t xml:space="preserve">Potentially several days, until a missed task or customer complaint exposes the gap.</t>
  </si>
  <si>
    <t xml:space="preserve">Record the owner, next action, deadline, and blockers in a shared tracker; require a handover checklist.</t>
  </si>
  <si>
    <t xml:space="preserve">Landlord rents the same property to another tenant after accepting the customer's deposit</t>
  </si>
  <si>
    <t xml:space="preserve">Customer loses the planned home, may need a refund, and must find replacement accommodation urgently</t>
  </si>
  <si>
    <t xml:space="preserve">Customer or property coordinator</t>
  </si>
  <si>
    <t xml:space="preserve">Customer contacts the landlord, or the landlord announces the property is unavailable</t>
  </si>
  <si>
    <t xml:space="preserve">There may be no independent confirmation that the property remains reserved after payment; the problem can surface days before move-in</t>
  </si>
  <si>
    <t xml:space="preserve">Record reservation status, payment evidence, landlord confirmation, and agreement status in the shared tracker. Escalate if confirmation is missing by a defined deadline; never treat payment alone as proof of a secured property</t>
  </si>
  <si>
    <t xml:space="preserve">Many leases start on the 1st, creating demand for the same movers, vehicles, and utility appointments</t>
  </si>
  <si>
    <t xml:space="preserve">Bookings compete for limited capacity, prices rise, and customers may face delays or spend time without essential services</t>
  </si>
  <si>
    <t xml:space="preserve">Operations coordinator</t>
  </si>
  <si>
    <t xml:space="preserve">A mover or service provider says the requested slot is unavailable, or multiple customers request the same slot</t>
  </si>
  <si>
    <t xml:space="preserve">There may be no combined view of demand and confirmed capacity across customers, movers, and utility providers</t>
  </si>
  <si>
    <t xml:space="preserve">Maintain a shared capacity calendar and flag overloaded dates early. Offer alternative slots before confirming bookings; if capacity fails, prioritize moves by urgency and communicate revised timings</t>
  </si>
  <si>
    <t xml:space="preserve">Customer name differs across identity proof, rental agreement, and utility application</t>
  </si>
  <si>
    <t xml:space="preserve">Verification or service activation is delayed, potentially affecting move-in readiness</t>
  </si>
  <si>
    <t xml:space="preserve">Documentation coordinator</t>
  </si>
  <si>
    <t xml:space="preserve">Staff or the service provider notices the mismatch during a manual document check or rejects the application</t>
  </si>
  <si>
    <t xml:space="preserve">The mismatch may be discovered only after submission, leaving little time to correct documents</t>
  </si>
  <si>
    <t xml:space="preserve">Compare required names before submission and flag discrepancies for human review. If discovered late, contact the customer and relevant provider immediately and track the correction to completion</t>
  </si>
  <si>
    <t xml:space="preserve">Society move-in hours or lift-booking rules are discovered after the mover is booked</t>
  </si>
  <si>
    <t xml:space="preserve">The truck may arrive outside the permitted window, causing waiting charges, a missed slot, or rescheduling</t>
  </si>
  <si>
    <t xml:space="preserve">Moving crew or customer</t>
  </si>
  <si>
    <t xml:space="preserve">Security refuses entry or says the lift or move slot was not booked</t>
  </si>
  <si>
    <t xml:space="preserve">Society rules and approval evidence may be buried in WhatsApp chats, with no mandatory pre-dispatch check</t>
  </si>
  <si>
    <t xml:space="preserve">Store society rules and approval evidence in the shared relocation record. Do not mark access as confirmed until the required approval or lift booking is recorded. If access fails, contact society security and the customer immediately and arrange the next permitted slot</t>
  </si>
  <si>
    <t xml:space="preserve">Customer shares Aadhaar, PAN, or other identity documents in a WhatsApp group with vendors or people who do not need them</t>
  </si>
  <si>
    <t xml:space="preserve">Sensitive personal information is exposed, creating privacy and misuse risks</t>
  </si>
  <si>
    <t xml:space="preserve">Customer or coordinator</t>
  </si>
  <si>
    <t xml:space="preserve">Someone notices the attachment, or the customer raises a concern</t>
  </si>
  <si>
    <t xml:space="preserve">There may be no systematic access review or alert, so exposure can remain unnoticed</t>
  </si>
  <si>
    <t xml:space="preserve">Store sensitive documents in an access-controlled location and share them only with authorized recipients. If exposed, restrict further access, request deletion where possible, notify the appropriate internal owner, and follow the incident-response process</t>
  </si>
  <si>
    <t xml:space="preserve">Data handling</t>
  </si>
  <si>
    <t xml:space="preserve">QuickMove expands into a new city before establishing reliable local mover, utility, and society partners</t>
  </si>
  <si>
    <t xml:space="preserve">Bookings may be accepted without dependable local capacity, pricing, or knowledge of local move-in rules</t>
  </si>
  <si>
    <t xml:space="preserve">City operations lead or customer coordinator</t>
  </si>
  <si>
    <t xml:space="preserve">The team struggles to find vendors, receives inconsistent quotes, or discovers local restrictions after accepting a booking</t>
  </si>
  <si>
    <t xml:space="preserve">There may be no city-readiness checklist or minimum verified partner capacity before accepting customers</t>
  </si>
  <si>
    <t xml:space="preserve">Define a city-launch checklist covering verified vendors, backup partners, pricing, service coverage, and society requirements. Limit bookings until minimum capacity is verified; if a booking is at risk, escalate early and offer a realistic alternative</t>
  </si>
  <si>
    <t xml:space="preserve">Edge-case themes</t>
  </si>
  <si>
    <t xml:space="preserve">Counts update automatically from the theme tags on the Edge Cases tab (a case can count under its primary and its 'also relates to' theme).</t>
  </si>
  <si>
    <t xml:space="preserve">Theme</t>
  </si>
  <si>
    <t xml:space="preserve">What it means</t>
  </si>
  <si>
    <t xml:space="preserve">Cases tagged</t>
  </si>
  <si>
    <t xml:space="preserve">The state of a move lives in individual chats and heads, not in one shared place.</t>
  </si>
  <si>
    <t xml:space="preserve">A step is marked done without proof (e.g. payment proof vs payment verified).</t>
  </si>
  <si>
    <t xml:space="preserve">Partners (movers, utilities, landlords) cannot absorb the load, or fail at the wrong moment.</t>
  </si>
  <si>
    <t xml:space="preserve">Sensitive customer documents are shared more widely than needed.</t>
  </si>
  <si>
    <t xml:space="preserve">Total tags</t>
  </si>
  <si>
    <t xml:space="preserve">Insight: themes 1 and 2 together touch most of the failures, which points at a shared tracker with evidence gates as the highest-leverage build.</t>
  </si>
  <si>
    <t xml:space="preserve">Choosing the build</t>
  </si>
  <si>
    <t xml:space="preserve">Pick one option in the yellow cell. Assignment test: a non-technical ops person can use it tomorrow, and it solves a real problem.</t>
  </si>
  <si>
    <t xml:space="preserve">Option</t>
  </si>
  <si>
    <t xml:space="preserve">What it is</t>
  </si>
  <si>
    <t xml:space="preserve">Edge cases it covers</t>
  </si>
  <si>
    <t xml:space="preserve">Why choose it</t>
  </si>
  <si>
    <t xml:space="preserve">Main risk</t>
  </si>
  <si>
    <t xml:space="preserve">Your pick (Yes / No)</t>
  </si>
  <si>
    <t xml:space="preserve">A. Move tracker with evidence gates</t>
  </si>
  <si>
    <t xml:space="preserve">One row per move, a single confirmed move date, and steps that can only become 'Done' once the required evidence is recorded; alerts when a date change affects other workflows.</t>
  </si>
  <si>
    <t xml:space="preserve">1, 3, 4, 5, 7, 8</t>
  </si>
  <si>
    <t xml:space="preserve">Broadest coverage; fits your #1 ranking; directly enforces the 'a status is not evidence' principle.</t>
  </si>
  <si>
    <t xml:space="preserve">Easy to build as a plain data store. It only counts if it blocks steps and flags problems.</t>
  </si>
  <si>
    <t xml:space="preserve">B. Agreement &amp; document readiness</t>
  </si>
  <si>
    <t xml:space="preserve">Checklist and name-match check for W5, W6, W10 and W12.</t>
  </si>
  <si>
    <t xml:space="preserve">7 (and the W5 chain)</t>
  </si>
  <si>
    <t xml:space="preserve">Targets W5, which blocks 6 workflows. Narrow but deep.</t>
  </si>
  <si>
    <t xml:space="preserve">Narrower impact; less of a whole-operation view.</t>
  </si>
  <si>
    <t xml:space="preserve">C. Capacity calendar</t>
  </si>
  <si>
    <t xml:space="preserve">Combined view of mover and utility slots by date.</t>
  </si>
  <si>
    <t xml:space="preserve">2, 6</t>
  </si>
  <si>
    <t xml:space="preserve">Most original idea; addresses the 1st-of-month crunch.</t>
  </si>
  <si>
    <t xml:space="preserve">Hard to make useful without real capacity data.</t>
  </si>
  <si>
    <t xml:space="preserve">Check: exactly one pick</t>
  </si>
  <si>
    <t xml:space="preserve">Build scope (write in your own words)</t>
  </si>
  <si>
    <t xml:space="preserve">Question</t>
  </si>
  <si>
    <t xml:space="preserve">Your answer</t>
  </si>
  <si>
    <t xml:space="preserve">Which option did you choose, and why?</t>
  </si>
  <si>
    <t xml:space="preserve">Who uses it, and at what moment in their day?</t>
  </si>
  <si>
    <t xml:space="preserve">What goes in, and what comes out?</t>
  </si>
  <si>
    <t xml:space="preserve">The 2-3 things it must do well</t>
  </si>
  <si>
    <t xml:space="preserve">What you are deliberately leaving out</t>
  </si>
  <si>
    <t xml:space="preserve">Build tool(s) and why (the tool choice is evaluated)</t>
  </si>
  <si>
    <t xml:space="preserve">How a non-technical ops person starts using it tomorrow</t>
  </si>
  <si>
    <t xml:space="preserve">Actual start time (report honestly)</t>
  </si>
  <si>
    <t xml:space="preserve">Planned end time (5-hour limit)</t>
  </si>
  <si>
    <t xml:space="preserve">Remaining work</t>
  </si>
  <si>
    <t xml:space="preserve">Task</t>
  </si>
  <si>
    <t xml:space="preserve">Where</t>
  </si>
  <si>
    <t xml:space="preserve">Status</t>
  </si>
  <si>
    <t xml:space="preserve">Rewrite the 'Review proposal:' notes in your own words</t>
  </si>
  <si>
    <t xml:space="preserve">Workflow Map, H9, H10, H14</t>
  </si>
  <si>
    <t xml:space="preserve">Not started</t>
  </si>
  <si>
    <t xml:space="preserve">Mark G2 and G3 as Merge (they duplicate W9 and W13); give the real additions rows W16+ with blocked-by values</t>
  </si>
  <si>
    <t xml:space="preserve">Gaps to Add / Workflow Map</t>
  </si>
  <si>
    <t xml:space="preserve">Add whole-journey metrics (days signup to move-in, share of moves with a date change, cascade reschedules, manual touches per move) and one leading indicator per workflow</t>
  </si>
  <si>
    <t xml:space="preserve">Workflow Metrics</t>
  </si>
  <si>
    <t xml:space="preserve">Fill detection gaps for edge cases 1-3</t>
  </si>
  <si>
    <t xml:space="preserve">Edge Cases</t>
  </si>
  <si>
    <t xml:space="preserve">Reduce 'may be' / 'potentially' hedging; say 'to validate with ops' where you are unsure</t>
  </si>
  <si>
    <t xml:space="preserve">Reword the double-rented property additions and the 'status is not evidence' principle in your own voice</t>
  </si>
  <si>
    <t xml:space="preserve">Edge Cases / Ranking</t>
  </si>
  <si>
    <t xml:space="preserve">Check how Aadhaar/ID documents may legally be stored before designing around row 9</t>
  </si>
  <si>
    <t xml:space="preserve">Choose the build and complete Build Scope</t>
  </si>
  <si>
    <t xml:space="preserve">Build Options / Build Scope</t>
  </si>
  <si>
    <t xml:space="preserve">Export every AI chat (prompts and responses) for the Build Log</t>
  </si>
  <si>
    <t xml:space="preserve">Submission 3</t>
  </si>
  <si>
    <t xml:space="preserve">Email all three submissions to mehvish@stampmyvisa.com, subject: AI Ops Engineer | [Your Name]</t>
  </si>
  <si>
    <t xml:space="preserve">Submission</t>
  </si>
  <si>
    <t xml:space="preserve">Done:</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</si>
</sst>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name val="Arial"/>
      <family val="0"/>
      <charset val="1"/>
    </font>
    <font>
      <b val="true"/>
      <sz val="10"/>
      <color rgb="FFFFFFFF"/>
      <name val="Arial"/>
      <family val="0"/>
      <charset val="1"/>
    </font>
    <font>
      <b val="true"/>
      <sz val="10"/>
      <name val="Arial"/>
      <family val="0"/>
      <charset val="1"/>
    </font>
    <font>
      <sz val="10"/>
      <name val="Arial"/>
      <family val="0"/>
      <charset val="1"/>
    </font>
    <font>
      <i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2F5FA"/>
      </patternFill>
    </fill>
    <fill>
      <patternFill patternType="solid">
        <fgColor rgb="FFF2F5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36"/>
    <col collapsed="false" customWidth="true" hidden="false" outlineLevel="0" max="4" min="4" style="0" width="22"/>
    <col collapsed="false" customWidth="true" hidden="false" outlineLevel="0" max="6" min="5" style="0" width="34"/>
    <col collapsed="false" customWidth="true" hidden="false" outlineLevel="0" max="7" min="7" style="0" width="50"/>
    <col collapsed="false" customWidth="true" hidden="false" outlineLevel="0" max="9" min="8" style="0" width="2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row>
    <row r="4" customFormat="false" ht="15" hidden="false" customHeight="false" outlineLevel="0" collapsed="false">
      <c r="A4" s="3" t="s">
        <v>2</v>
      </c>
      <c r="B4" s="3" t="s">
        <v>3</v>
      </c>
      <c r="C4" s="3" t="s">
        <v>4</v>
      </c>
      <c r="D4" s="3" t="s">
        <v>5</v>
      </c>
      <c r="E4" s="3" t="s">
        <v>6</v>
      </c>
      <c r="F4" s="3" t="s">
        <v>7</v>
      </c>
      <c r="G4" s="3" t="s">
        <v>8</v>
      </c>
      <c r="H4" s="3" t="s">
        <v>9</v>
      </c>
      <c r="I4" s="3" t="s">
        <v>10</v>
      </c>
    </row>
    <row r="5" customFormat="false" ht="23.85" hidden="false" customHeight="false" outlineLevel="0" collapsed="false">
      <c r="A5" s="4" t="n">
        <v>1</v>
      </c>
      <c r="B5" s="5" t="s">
        <v>11</v>
      </c>
      <c r="C5" s="5" t="s">
        <v>12</v>
      </c>
      <c r="D5" s="5" t="s">
        <v>13</v>
      </c>
      <c r="E5" s="5" t="s">
        <v>14</v>
      </c>
      <c r="F5" s="6"/>
      <c r="G5" s="5" t="s">
        <v>15</v>
      </c>
      <c r="H5" s="5" t="s">
        <v>16</v>
      </c>
      <c r="I5" s="5"/>
    </row>
    <row r="6" customFormat="false" ht="35.05" hidden="false" customHeight="false" outlineLevel="0" collapsed="false">
      <c r="A6" s="7" t="n">
        <v>2</v>
      </c>
      <c r="B6" s="8" t="s">
        <v>17</v>
      </c>
      <c r="C6" s="8" t="s">
        <v>18</v>
      </c>
      <c r="D6" s="8" t="s">
        <v>19</v>
      </c>
      <c r="E6" s="8" t="s">
        <v>20</v>
      </c>
      <c r="F6" s="6"/>
      <c r="G6" s="8" t="s">
        <v>21</v>
      </c>
      <c r="H6" s="8" t="s">
        <v>22</v>
      </c>
      <c r="I6" s="8"/>
    </row>
    <row r="7" customFormat="false" ht="35.05" hidden="false" customHeight="false" outlineLevel="0" collapsed="false">
      <c r="A7" s="4" t="n">
        <v>3</v>
      </c>
      <c r="B7" s="5" t="s">
        <v>23</v>
      </c>
      <c r="C7" s="5" t="s">
        <v>24</v>
      </c>
      <c r="D7" s="5" t="s">
        <v>25</v>
      </c>
      <c r="E7" s="5" t="s">
        <v>26</v>
      </c>
      <c r="F7" s="6"/>
      <c r="G7" s="5" t="s">
        <v>27</v>
      </c>
      <c r="H7" s="5" t="s">
        <v>28</v>
      </c>
      <c r="I7" s="5"/>
    </row>
    <row r="8" customFormat="false" ht="35.05" hidden="false" customHeight="false" outlineLevel="0" collapsed="false">
      <c r="A8" s="7" t="n">
        <v>4</v>
      </c>
      <c r="B8" s="8" t="s">
        <v>29</v>
      </c>
      <c r="C8" s="8" t="s">
        <v>30</v>
      </c>
      <c r="D8" s="8" t="s">
        <v>31</v>
      </c>
      <c r="E8" s="8" t="s">
        <v>32</v>
      </c>
      <c r="F8" s="5" t="s">
        <v>33</v>
      </c>
      <c r="G8" s="8" t="s">
        <v>34</v>
      </c>
      <c r="H8" s="8" t="s">
        <v>16</v>
      </c>
      <c r="I8" s="8"/>
    </row>
    <row r="9" customFormat="false" ht="46.25" hidden="false" customHeight="false" outlineLevel="0" collapsed="false">
      <c r="A9" s="4" t="n">
        <v>5</v>
      </c>
      <c r="B9" s="5" t="s">
        <v>35</v>
      </c>
      <c r="C9" s="5" t="s">
        <v>36</v>
      </c>
      <c r="D9" s="5" t="s">
        <v>37</v>
      </c>
      <c r="E9" s="5" t="s">
        <v>38</v>
      </c>
      <c r="F9" s="5" t="s">
        <v>39</v>
      </c>
      <c r="G9" s="5" t="s">
        <v>40</v>
      </c>
      <c r="H9" s="5" t="s">
        <v>28</v>
      </c>
      <c r="I9" s="5"/>
    </row>
    <row r="10" customFormat="false" ht="46.25" hidden="false" customHeight="false" outlineLevel="0" collapsed="false">
      <c r="A10" s="7" t="n">
        <v>6</v>
      </c>
      <c r="B10" s="8" t="s">
        <v>41</v>
      </c>
      <c r="C10" s="8" t="s">
        <v>42</v>
      </c>
      <c r="D10" s="8" t="s">
        <v>43</v>
      </c>
      <c r="E10" s="8" t="s">
        <v>44</v>
      </c>
      <c r="F10" s="5" t="s">
        <v>45</v>
      </c>
      <c r="G10" s="8" t="s">
        <v>46</v>
      </c>
      <c r="H10" s="8" t="s">
        <v>22</v>
      </c>
      <c r="I10" s="8" t="s">
        <v>16</v>
      </c>
    </row>
    <row r="11" customFormat="false" ht="46.25" hidden="false" customHeight="false" outlineLevel="0" collapsed="false">
      <c r="A11" s="4" t="n">
        <v>7</v>
      </c>
      <c r="B11" s="5" t="s">
        <v>47</v>
      </c>
      <c r="C11" s="5" t="s">
        <v>48</v>
      </c>
      <c r="D11" s="5" t="s">
        <v>49</v>
      </c>
      <c r="E11" s="5" t="s">
        <v>50</v>
      </c>
      <c r="F11" s="5" t="s">
        <v>51</v>
      </c>
      <c r="G11" s="5" t="s">
        <v>52</v>
      </c>
      <c r="H11" s="5" t="s">
        <v>28</v>
      </c>
      <c r="I11" s="5"/>
    </row>
    <row r="12" customFormat="false" ht="57.45" hidden="false" customHeight="false" outlineLevel="0" collapsed="false">
      <c r="A12" s="7" t="n">
        <v>8</v>
      </c>
      <c r="B12" s="8" t="s">
        <v>53</v>
      </c>
      <c r="C12" s="8" t="s">
        <v>54</v>
      </c>
      <c r="D12" s="8" t="s">
        <v>55</v>
      </c>
      <c r="E12" s="8" t="s">
        <v>56</v>
      </c>
      <c r="F12" s="5" t="s">
        <v>57</v>
      </c>
      <c r="G12" s="8" t="s">
        <v>58</v>
      </c>
      <c r="H12" s="8" t="s">
        <v>28</v>
      </c>
      <c r="I12" s="8" t="s">
        <v>16</v>
      </c>
    </row>
    <row r="13" customFormat="false" ht="57.45" hidden="false" customHeight="false" outlineLevel="0" collapsed="false">
      <c r="A13" s="4" t="n">
        <v>9</v>
      </c>
      <c r="B13" s="5" t="s">
        <v>59</v>
      </c>
      <c r="C13" s="5" t="s">
        <v>60</v>
      </c>
      <c r="D13" s="5" t="s">
        <v>61</v>
      </c>
      <c r="E13" s="5" t="s">
        <v>62</v>
      </c>
      <c r="F13" s="5" t="s">
        <v>63</v>
      </c>
      <c r="G13" s="5" t="s">
        <v>64</v>
      </c>
      <c r="H13" s="5" t="s">
        <v>65</v>
      </c>
      <c r="I13" s="5"/>
    </row>
    <row r="14" customFormat="false" ht="57.45" hidden="false" customHeight="false" outlineLevel="0" collapsed="false">
      <c r="A14" s="7" t="n">
        <v>10</v>
      </c>
      <c r="B14" s="8" t="s">
        <v>66</v>
      </c>
      <c r="C14" s="8" t="s">
        <v>67</v>
      </c>
      <c r="D14" s="8" t="s">
        <v>68</v>
      </c>
      <c r="E14" s="8" t="s">
        <v>69</v>
      </c>
      <c r="F14" s="5" t="s">
        <v>70</v>
      </c>
      <c r="G14" s="8" t="s">
        <v>71</v>
      </c>
      <c r="H14" s="8" t="s">
        <v>22</v>
      </c>
      <c r="I14" s="8"/>
    </row>
  </sheetData>
  <mergeCells count="1">
    <mergeCell ref="A2:I2"/>
  </mergeCells>
  <dataValidations count="1">
    <dataValidation allowBlank="true" errorStyle="stop" operator="between" showDropDown="false" showErrorMessage="false" showInputMessage="false" sqref="H5:I14" type="list">
      <formula1>"No single source of truth,Status mistaken for evidence,Capacity &amp; partner reliability,Data handling"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14"/>
  </cols>
  <sheetData>
    <row r="1" customFormat="false" ht="17.35" hidden="false" customHeight="false" outlineLevel="0" collapsed="false">
      <c r="A1" s="1" t="s">
        <v>72</v>
      </c>
    </row>
    <row r="2" customFormat="false" ht="15" hidden="false" customHeight="false" outlineLevel="0" collapsed="false">
      <c r="A2" s="9" t="s">
        <v>73</v>
      </c>
    </row>
    <row r="4" customFormat="false" ht="15" hidden="false" customHeight="false" outlineLevel="0" collapsed="false">
      <c r="A4" s="3" t="s">
        <v>74</v>
      </c>
      <c r="B4" s="3" t="s">
        <v>75</v>
      </c>
      <c r="C4" s="3" t="s">
        <v>76</v>
      </c>
    </row>
    <row r="5" customFormat="false" ht="15" hidden="false" customHeight="false" outlineLevel="0" collapsed="false">
      <c r="A5" s="4" t="s">
        <v>16</v>
      </c>
      <c r="B5" s="5" t="s">
        <v>77</v>
      </c>
      <c r="C5" s="10" t="n">
        <f aca="false">COUNTIF('Edge Cases'!$H$5:$I$14,A5)</f>
        <v>4</v>
      </c>
    </row>
    <row r="6" customFormat="false" ht="15" hidden="false" customHeight="false" outlineLevel="0" collapsed="false">
      <c r="A6" s="4" t="s">
        <v>28</v>
      </c>
      <c r="B6" s="5" t="s">
        <v>78</v>
      </c>
      <c r="C6" s="10" t="n">
        <f aca="false">COUNTIF('Edge Cases'!$H$5:$I$14,A6)</f>
        <v>4</v>
      </c>
    </row>
    <row r="7" customFormat="false" ht="23.85" hidden="false" customHeight="false" outlineLevel="0" collapsed="false">
      <c r="A7" s="4" t="s">
        <v>22</v>
      </c>
      <c r="B7" s="5" t="s">
        <v>79</v>
      </c>
      <c r="C7" s="10" t="n">
        <f aca="false">COUNTIF('Edge Cases'!$H$5:$I$14,A7)</f>
        <v>3</v>
      </c>
    </row>
    <row r="8" customFormat="false" ht="15" hidden="false" customHeight="false" outlineLevel="0" collapsed="false">
      <c r="A8" s="4" t="s">
        <v>65</v>
      </c>
      <c r="B8" s="5" t="s">
        <v>80</v>
      </c>
      <c r="C8" s="10" t="n">
        <f aca="false">COUNTIF('Edge Cases'!$H$5:$I$14,A8)</f>
        <v>1</v>
      </c>
    </row>
    <row r="9" customFormat="false" ht="15" hidden="false" customHeight="false" outlineLevel="0" collapsed="false">
      <c r="A9" s="4" t="s">
        <v>81</v>
      </c>
      <c r="B9" s="5"/>
      <c r="C9" s="11" t="n">
        <f aca="false">SUM(C5:C8)</f>
        <v>12</v>
      </c>
    </row>
    <row r="11" customFormat="false" ht="30" hidden="false" customHeight="true" outlineLevel="0" collapsed="false">
      <c r="A11" s="12" t="s">
        <v>82</v>
      </c>
      <c r="B11" s="12"/>
      <c r="C11" s="12"/>
    </row>
  </sheetData>
  <mergeCells count="1">
    <mergeCell ref="A11: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52"/>
    <col collapsed="false" customWidth="true" hidden="false" outlineLevel="0" max="3" min="3" style="0" width="18"/>
    <col collapsed="false" customWidth="true" hidden="false" outlineLevel="0" max="4" min="4" style="0" width="44"/>
    <col collapsed="false" customWidth="true" hidden="false" outlineLevel="0" max="5" min="5" style="0" width="40"/>
    <col collapsed="false" customWidth="true" hidden="false" outlineLevel="0" max="6" min="6" style="0" width="16"/>
  </cols>
  <sheetData>
    <row r="1" customFormat="false" ht="17.35" hidden="false" customHeight="false" outlineLevel="0" collapsed="false">
      <c r="A1" s="1" t="s">
        <v>83</v>
      </c>
    </row>
    <row r="2" customFormat="false" ht="15" hidden="false" customHeight="false" outlineLevel="0" collapsed="false">
      <c r="A2" s="9" t="s">
        <v>84</v>
      </c>
    </row>
    <row r="4" customFormat="false" ht="23.85" hidden="false" customHeight="false" outlineLevel="0" collapsed="false">
      <c r="A4" s="3" t="s">
        <v>85</v>
      </c>
      <c r="B4" s="3" t="s">
        <v>86</v>
      </c>
      <c r="C4" s="3" t="s">
        <v>87</v>
      </c>
      <c r="D4" s="3" t="s">
        <v>88</v>
      </c>
      <c r="E4" s="3" t="s">
        <v>89</v>
      </c>
      <c r="F4" s="3" t="s">
        <v>90</v>
      </c>
    </row>
    <row r="5" customFormat="false" ht="35.05" hidden="false" customHeight="false" outlineLevel="0" collapsed="false">
      <c r="A5" s="4" t="s">
        <v>91</v>
      </c>
      <c r="B5" s="5" t="s">
        <v>92</v>
      </c>
      <c r="C5" s="5" t="s">
        <v>93</v>
      </c>
      <c r="D5" s="5" t="s">
        <v>94</v>
      </c>
      <c r="E5" s="5" t="s">
        <v>95</v>
      </c>
      <c r="F5" s="6"/>
    </row>
    <row r="6" customFormat="false" ht="23.85" hidden="false" customHeight="false" outlineLevel="0" collapsed="false">
      <c r="A6" s="4" t="s">
        <v>96</v>
      </c>
      <c r="B6" s="5" t="s">
        <v>97</v>
      </c>
      <c r="C6" s="5" t="s">
        <v>98</v>
      </c>
      <c r="D6" s="5" t="s">
        <v>99</v>
      </c>
      <c r="E6" s="5" t="s">
        <v>100</v>
      </c>
      <c r="F6" s="6"/>
    </row>
    <row r="7" customFormat="false" ht="23.85" hidden="false" customHeight="false" outlineLevel="0" collapsed="false">
      <c r="A7" s="4" t="s">
        <v>101</v>
      </c>
      <c r="B7" s="5" t="s">
        <v>102</v>
      </c>
      <c r="C7" s="5" t="s">
        <v>103</v>
      </c>
      <c r="D7" s="5" t="s">
        <v>104</v>
      </c>
      <c r="E7" s="5" t="s">
        <v>105</v>
      </c>
      <c r="F7" s="6"/>
    </row>
    <row r="9" customFormat="false" ht="15" hidden="false" customHeight="false" outlineLevel="0" collapsed="false">
      <c r="A9" s="13" t="s">
        <v>106</v>
      </c>
      <c r="B9" s="14" t="str">
        <f aca="false">IF(COUNTIF(F5:F7,"Yes")=1,"OK","Choose exactly one option")</f>
        <v>Choose exactly one option</v>
      </c>
    </row>
  </sheetData>
  <dataValidations count="1">
    <dataValidation allowBlank="true" errorStyle="stop" operator="between" showDropDown="false" showErrorMessage="false" showInputMessage="false" sqref="F5:F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90"/>
  </cols>
  <sheetData>
    <row r="1" customFormat="false" ht="17.35" hidden="false" customHeight="false" outlineLevel="0" collapsed="false">
      <c r="A1" s="1" t="s">
        <v>107</v>
      </c>
    </row>
    <row r="3" customFormat="false" ht="15" hidden="false" customHeight="false" outlineLevel="0" collapsed="false">
      <c r="A3" s="3" t="s">
        <v>108</v>
      </c>
      <c r="B3" s="3" t="s">
        <v>109</v>
      </c>
    </row>
    <row r="4" customFormat="false" ht="48" hidden="false" customHeight="true" outlineLevel="0" collapsed="false">
      <c r="A4" s="4" t="s">
        <v>110</v>
      </c>
      <c r="B4" s="6"/>
    </row>
    <row r="5" customFormat="false" ht="48" hidden="false" customHeight="true" outlineLevel="0" collapsed="false">
      <c r="A5" s="4" t="s">
        <v>111</v>
      </c>
      <c r="B5" s="6"/>
    </row>
    <row r="6" customFormat="false" ht="48" hidden="false" customHeight="true" outlineLevel="0" collapsed="false">
      <c r="A6" s="4" t="s">
        <v>112</v>
      </c>
      <c r="B6" s="6"/>
    </row>
    <row r="7" customFormat="false" ht="48" hidden="false" customHeight="true" outlineLevel="0" collapsed="false">
      <c r="A7" s="4" t="s">
        <v>113</v>
      </c>
      <c r="B7" s="6"/>
    </row>
    <row r="8" customFormat="false" ht="48" hidden="false" customHeight="true" outlineLevel="0" collapsed="false">
      <c r="A8" s="4" t="s">
        <v>114</v>
      </c>
      <c r="B8" s="6"/>
    </row>
    <row r="9" customFormat="false" ht="48" hidden="false" customHeight="true" outlineLevel="0" collapsed="false">
      <c r="A9" s="4" t="s">
        <v>115</v>
      </c>
      <c r="B9" s="6"/>
    </row>
    <row r="10" customFormat="false" ht="48" hidden="false" customHeight="true" outlineLevel="0" collapsed="false">
      <c r="A10" s="4" t="s">
        <v>116</v>
      </c>
      <c r="B10" s="6"/>
    </row>
    <row r="11" customFormat="false" ht="48" hidden="false" customHeight="true" outlineLevel="0" collapsed="false">
      <c r="A11" s="4" t="s">
        <v>117</v>
      </c>
      <c r="B11" s="6"/>
    </row>
    <row r="12" customFormat="false" ht="48" hidden="false" customHeight="true" outlineLevel="0" collapsed="false">
      <c r="A12" s="4" t="s">
        <v>118</v>
      </c>
      <c r="B12"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36"/>
    <col collapsed="false" customWidth="true" hidden="false" outlineLevel="0" max="4" min="4" style="0" width="14"/>
  </cols>
  <sheetData>
    <row r="1" customFormat="false" ht="17.35" hidden="false" customHeight="false" outlineLevel="0" collapsed="false">
      <c r="A1" s="1" t="s">
        <v>119</v>
      </c>
    </row>
    <row r="3" customFormat="false" ht="15" hidden="false" customHeight="false" outlineLevel="0" collapsed="false">
      <c r="A3" s="3" t="s">
        <v>2</v>
      </c>
      <c r="B3" s="3" t="s">
        <v>120</v>
      </c>
      <c r="C3" s="3" t="s">
        <v>121</v>
      </c>
      <c r="D3" s="3" t="s">
        <v>122</v>
      </c>
    </row>
    <row r="4" customFormat="false" ht="15" hidden="false" customHeight="false" outlineLevel="0" collapsed="false">
      <c r="A4" s="4" t="n">
        <v>1</v>
      </c>
      <c r="B4" s="5" t="s">
        <v>123</v>
      </c>
      <c r="C4" s="5" t="s">
        <v>124</v>
      </c>
      <c r="D4" s="6" t="s">
        <v>125</v>
      </c>
    </row>
    <row r="5" customFormat="false" ht="23.85" hidden="false" customHeight="false" outlineLevel="0" collapsed="false">
      <c r="A5" s="4" t="n">
        <v>2</v>
      </c>
      <c r="B5" s="5" t="s">
        <v>126</v>
      </c>
      <c r="C5" s="5" t="s">
        <v>127</v>
      </c>
      <c r="D5" s="6" t="s">
        <v>125</v>
      </c>
    </row>
    <row r="6" customFormat="false" ht="23.85" hidden="false" customHeight="false" outlineLevel="0" collapsed="false">
      <c r="A6" s="4" t="n">
        <v>3</v>
      </c>
      <c r="B6" s="5" t="s">
        <v>128</v>
      </c>
      <c r="C6" s="5" t="s">
        <v>129</v>
      </c>
      <c r="D6" s="6" t="s">
        <v>125</v>
      </c>
    </row>
    <row r="7" customFormat="false" ht="15" hidden="false" customHeight="false" outlineLevel="0" collapsed="false">
      <c r="A7" s="4" t="n">
        <v>4</v>
      </c>
      <c r="B7" s="5" t="s">
        <v>130</v>
      </c>
      <c r="C7" s="5" t="s">
        <v>131</v>
      </c>
      <c r="D7" s="6" t="s">
        <v>125</v>
      </c>
    </row>
    <row r="8" customFormat="false" ht="15" hidden="false" customHeight="false" outlineLevel="0" collapsed="false">
      <c r="A8" s="4" t="n">
        <v>5</v>
      </c>
      <c r="B8" s="5" t="s">
        <v>132</v>
      </c>
      <c r="C8" s="5" t="s">
        <v>131</v>
      </c>
      <c r="D8" s="6" t="s">
        <v>125</v>
      </c>
    </row>
    <row r="9" customFormat="false" ht="23.85" hidden="false" customHeight="false" outlineLevel="0" collapsed="false">
      <c r="A9" s="4" t="n">
        <v>6</v>
      </c>
      <c r="B9" s="5" t="s">
        <v>133</v>
      </c>
      <c r="C9" s="5" t="s">
        <v>134</v>
      </c>
      <c r="D9" s="6" t="s">
        <v>125</v>
      </c>
    </row>
    <row r="10" customFormat="false" ht="15" hidden="false" customHeight="false" outlineLevel="0" collapsed="false">
      <c r="A10" s="4" t="n">
        <v>7</v>
      </c>
      <c r="B10" s="5" t="s">
        <v>135</v>
      </c>
      <c r="C10" s="5" t="s">
        <v>131</v>
      </c>
      <c r="D10" s="6" t="s">
        <v>125</v>
      </c>
    </row>
    <row r="11" customFormat="false" ht="15" hidden="false" customHeight="false" outlineLevel="0" collapsed="false">
      <c r="A11" s="4" t="n">
        <v>8</v>
      </c>
      <c r="B11" s="5" t="s">
        <v>136</v>
      </c>
      <c r="C11" s="5" t="s">
        <v>137</v>
      </c>
      <c r="D11" s="6" t="s">
        <v>125</v>
      </c>
    </row>
    <row r="12" customFormat="false" ht="15" hidden="false" customHeight="false" outlineLevel="0" collapsed="false">
      <c r="A12" s="4" t="n">
        <v>9</v>
      </c>
      <c r="B12" s="5" t="s">
        <v>138</v>
      </c>
      <c r="C12" s="5" t="s">
        <v>139</v>
      </c>
      <c r="D12" s="6" t="s">
        <v>125</v>
      </c>
    </row>
    <row r="13" customFormat="false" ht="23.85" hidden="false" customHeight="false" outlineLevel="0" collapsed="false">
      <c r="A13" s="4" t="n">
        <v>10</v>
      </c>
      <c r="B13" s="5" t="s">
        <v>140</v>
      </c>
      <c r="C13" s="5" t="s">
        <v>141</v>
      </c>
      <c r="D13" s="6" t="s">
        <v>125</v>
      </c>
    </row>
    <row r="15" customFormat="false" ht="15" hidden="false" customHeight="false" outlineLevel="0" collapsed="false">
      <c r="A15" s="13" t="s">
        <v>142</v>
      </c>
      <c r="B15" s="14" t="str">
        <f aca="false">COUNTIF(D4:D13,"Done")&amp;" of "&amp;COUNTA(B4:B13)&amp;" tasks"</f>
        <v>0 of 10 tasks</v>
      </c>
    </row>
  </sheetData>
  <dataValidations count="1">
    <dataValidation allowBlank="false" errorStyle="stop" operator="between" showDropDown="false" showErrorMessage="false" showInputMessage="false" sqref="D4:D13"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2026-10-09T21:26:24Z</dcterms:created>
  <dc:creator>openpyxl</dc:creator>
  <dc:description/>
  <dc:language>en-US</dc:language>
  <cp:lastModifiedBy/>
  <dcterms:modified xsi:type="dcterms:W3CDTF">2026-10-09T21:26:24Z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